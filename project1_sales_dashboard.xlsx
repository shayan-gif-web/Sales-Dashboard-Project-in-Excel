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/>
  <xr:revisionPtr revIDLastSave="208" documentId="11_1C4378FA881E5902FFCD8F54201F0B1C8ED21B18" xr6:coauthVersionLast="47" xr6:coauthVersionMax="47" xr10:uidLastSave="{2A6049C7-C3D3-4FA3-9308-FA2112D33E89}"/>
  <bookViews>
    <workbookView xWindow="0" yWindow="0" windowWidth="16384" windowHeight="8192" tabRatio="500" firstSheet="4" activeTab="3" xr2:uid="{00000000-000D-0000-FFFF-FFFF00000000}"/>
  </bookViews>
  <sheets>
    <sheet name="Sales_Data" sheetId="1" r:id="rId1"/>
    <sheet name="Vlookup &amp; Xlookup" sheetId="4" r:id="rId2"/>
    <sheet name="sumif &amp; countif" sheetId="5" r:id="rId3"/>
    <sheet name="Dashboard" sheetId="2" r:id="rId4"/>
    <sheet name="Pivot table &amp; charts" sheetId="6" r:id="rId5"/>
    <sheet name="📋 Instructions" sheetId="3" r:id="rId6"/>
  </sheets>
  <definedNames>
    <definedName name="Slicer_Region">#N/A</definedName>
  </definedNames>
  <calcPr calcId="191028" iterateDelta="1E-4"/>
  <pivotCaches>
    <pivotCache cacheId="155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2" l="1"/>
  <c r="F12" i="2"/>
  <c r="F13" i="2"/>
  <c r="F10" i="2"/>
  <c r="G11" i="2"/>
  <c r="G12" i="2"/>
  <c r="G13" i="2"/>
  <c r="G10" i="2"/>
  <c r="B11" i="2"/>
  <c r="B12" i="2"/>
  <c r="B13" i="2"/>
  <c r="B10" i="2"/>
  <c r="C12" i="2"/>
  <c r="C13" i="2"/>
  <c r="C10" i="2"/>
  <c r="C11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G4" i="5"/>
  <c r="B6" i="2"/>
  <c r="D4" i="2"/>
  <c r="L21" i="1"/>
  <c r="K21" i="1"/>
  <c r="M21" i="1" s="1"/>
  <c r="L20" i="1"/>
  <c r="K20" i="1"/>
  <c r="M20" i="1" s="1"/>
  <c r="L19" i="1"/>
  <c r="K19" i="1"/>
  <c r="M19" i="1" s="1"/>
  <c r="L18" i="1"/>
  <c r="K18" i="1"/>
  <c r="M18" i="1" s="1"/>
  <c r="L17" i="1"/>
  <c r="K17" i="1"/>
  <c r="M17" i="1" s="1"/>
  <c r="L16" i="1"/>
  <c r="K16" i="1"/>
  <c r="M16" i="1" s="1"/>
  <c r="L15" i="1"/>
  <c r="K15" i="1"/>
  <c r="M15" i="1" s="1"/>
  <c r="L14" i="1"/>
  <c r="K14" i="1"/>
  <c r="M14" i="1" s="1"/>
  <c r="L13" i="1"/>
  <c r="K13" i="1"/>
  <c r="M13" i="1" s="1"/>
  <c r="L12" i="1"/>
  <c r="K12" i="1"/>
  <c r="M12" i="1" s="1"/>
  <c r="L11" i="1"/>
  <c r="K11" i="1"/>
  <c r="M11" i="1" s="1"/>
  <c r="L10" i="1"/>
  <c r="K10" i="1"/>
  <c r="M10" i="1" s="1"/>
  <c r="L9" i="1"/>
  <c r="K9" i="1"/>
  <c r="M9" i="1" s="1"/>
  <c r="L8" i="1"/>
  <c r="K8" i="1"/>
  <c r="M8" i="1" s="1"/>
  <c r="L7" i="1"/>
  <c r="K7" i="1"/>
  <c r="M7" i="1" s="1"/>
  <c r="L6" i="1"/>
  <c r="K6" i="1"/>
  <c r="M6" i="1" s="1"/>
  <c r="L5" i="1"/>
  <c r="K5" i="1"/>
  <c r="L4" i="1"/>
  <c r="K4" i="1"/>
  <c r="D4" i="5" s="1"/>
  <c r="L3" i="1"/>
  <c r="K3" i="1"/>
  <c r="L2" i="1"/>
  <c r="K2" i="1"/>
  <c r="D5" i="2" l="1"/>
  <c r="B4" i="2"/>
  <c r="M2" i="1"/>
  <c r="M3" i="1"/>
  <c r="M4" i="1"/>
  <c r="M5" i="1"/>
  <c r="B3" i="4" l="1"/>
  <c r="E3" i="4"/>
  <c r="D6" i="2"/>
  <c r="B5" i="2"/>
</calcChain>
</file>

<file path=xl/sharedStrings.xml><?xml version="1.0" encoding="utf-8"?>
<sst xmlns="http://schemas.openxmlformats.org/spreadsheetml/2006/main" count="223" uniqueCount="122">
  <si>
    <t>Order_ID</t>
  </si>
  <si>
    <t>Months</t>
  </si>
  <si>
    <t>Date</t>
  </si>
  <si>
    <t>Salesperson</t>
  </si>
  <si>
    <t>Region</t>
  </si>
  <si>
    <t>Product</t>
  </si>
  <si>
    <t>Category</t>
  </si>
  <si>
    <t>Units_Sold</t>
  </si>
  <si>
    <t>Unit_Price</t>
  </si>
  <si>
    <t>Discount_%</t>
  </si>
  <si>
    <t>Revenue</t>
  </si>
  <si>
    <t>Cost</t>
  </si>
  <si>
    <t>Profit</t>
  </si>
  <si>
    <t>ORD-001</t>
  </si>
  <si>
    <t>2024-01-05</t>
  </si>
  <si>
    <t>Ali Hassan</t>
  </si>
  <si>
    <t>North</t>
  </si>
  <si>
    <t>Laptop Pro</t>
  </si>
  <si>
    <t>Electronics</t>
  </si>
  <si>
    <t>ORD-002</t>
  </si>
  <si>
    <t>2024-01-12</t>
  </si>
  <si>
    <t>Sara Ahmed</t>
  </si>
  <si>
    <t>South</t>
  </si>
  <si>
    <t>Office Chair</t>
  </si>
  <si>
    <t>Furniture</t>
  </si>
  <si>
    <t>ORD-003</t>
  </si>
  <si>
    <t>2024-01-18</t>
  </si>
  <si>
    <t>Bilal Khan</t>
  </si>
  <si>
    <t>East</t>
  </si>
  <si>
    <t>Printer X</t>
  </si>
  <si>
    <t>ORD-004</t>
  </si>
  <si>
    <t>2024-01-25</t>
  </si>
  <si>
    <t>Fatima Mir</t>
  </si>
  <si>
    <t>West</t>
  </si>
  <si>
    <t>Standing Desk</t>
  </si>
  <si>
    <t>ORD-005</t>
  </si>
  <si>
    <t>2024-02-03</t>
  </si>
  <si>
    <t>ORD-006</t>
  </si>
  <si>
    <t>2024-02-10</t>
  </si>
  <si>
    <t>Headphones</t>
  </si>
  <si>
    <t>ORD-007</t>
  </si>
  <si>
    <t>2024-02-14</t>
  </si>
  <si>
    <t>Bookshelf</t>
  </si>
  <si>
    <t>ORD-008</t>
  </si>
  <si>
    <t>2024-02-20</t>
  </si>
  <si>
    <t>Monitor 27</t>
  </si>
  <si>
    <t>ORD-009</t>
  </si>
  <si>
    <t>2024-03-02</t>
  </si>
  <si>
    <t>Keyboard</t>
  </si>
  <si>
    <t>ORD-010</t>
  </si>
  <si>
    <t>2024-03-09</t>
  </si>
  <si>
    <t>ORD-011</t>
  </si>
  <si>
    <t>2024-03-15</t>
  </si>
  <si>
    <t>ORD-012</t>
  </si>
  <si>
    <t>2024-03-22</t>
  </si>
  <si>
    <t>ORD-013</t>
  </si>
  <si>
    <t>2024-04-01</t>
  </si>
  <si>
    <t>ORD-014</t>
  </si>
  <si>
    <t>2024-04-08</t>
  </si>
  <si>
    <t>ORD-015</t>
  </si>
  <si>
    <t>2024-04-15</t>
  </si>
  <si>
    <t>ORD-016</t>
  </si>
  <si>
    <t>2024-04-22</t>
  </si>
  <si>
    <t>ORD-017</t>
  </si>
  <si>
    <t>2024-05-05</t>
  </si>
  <si>
    <t>ORD-018</t>
  </si>
  <si>
    <t>2024-05-12</t>
  </si>
  <si>
    <t>ORD-019</t>
  </si>
  <si>
    <t>2024-05-19</t>
  </si>
  <si>
    <t>ORD-020</t>
  </si>
  <si>
    <t>2024-05-26</t>
  </si>
  <si>
    <t>Vlookup</t>
  </si>
  <si>
    <t>Xlookup</t>
  </si>
  <si>
    <t>office chair</t>
  </si>
  <si>
    <t>Sumif</t>
  </si>
  <si>
    <t>Countif</t>
  </si>
  <si>
    <t>Order Count</t>
  </si>
  <si>
    <t>west</t>
  </si>
  <si>
    <t>📊 SALES PERFORMANCE DASHBOARD 2024</t>
  </si>
  <si>
    <t>KEY METRICS</t>
  </si>
  <si>
    <t>Total Revenue ($)</t>
  </si>
  <si>
    <t>Total Orders</t>
  </si>
  <si>
    <t>Total Profit ($)</t>
  </si>
  <si>
    <t>Avg Order Revenue ($)</t>
  </si>
  <si>
    <t>Total Units Sold</t>
  </si>
  <si>
    <t>Profit Margin (%)</t>
  </si>
  <si>
    <t>REVENUE BY REGION</t>
  </si>
  <si>
    <t>TOP SALESPERSON</t>
  </si>
  <si>
    <t>Revenue ($)</t>
  </si>
  <si>
    <t>Profit ($)</t>
  </si>
  <si>
    <t>Units</t>
  </si>
  <si>
    <t>Sum of Revenue</t>
  </si>
  <si>
    <t>Jan</t>
  </si>
  <si>
    <t>Jan Total</t>
  </si>
  <si>
    <t>Feb</t>
  </si>
  <si>
    <t>Feb Total</t>
  </si>
  <si>
    <t>Grand Total</t>
  </si>
  <si>
    <t>Mar</t>
  </si>
  <si>
    <t>Mar Total</t>
  </si>
  <si>
    <t>Apr</t>
  </si>
  <si>
    <t>Apr Total</t>
  </si>
  <si>
    <t>May</t>
  </si>
  <si>
    <t>May Total</t>
  </si>
  <si>
    <t>PROJECT 1: SALES DASHBOARD</t>
  </si>
  <si>
    <t>SKILLS YOU WILL PRACTICE:</t>
  </si>
  <si>
    <t>1. VLOOKUP / XLOOKUP – Look up product info across sheets</t>
  </si>
  <si>
    <t>2. SUMIF / COUNTIF – Aggregate sales by region &amp; salesperson</t>
  </si>
  <si>
    <t>3. Pivot Tables – Drag-and-drop summary by category/month</t>
  </si>
  <si>
    <t>4. Charts – Bar chart for region revenue, Line chart for monthly trend</t>
  </si>
  <si>
    <t>5. Conditional Formatting – Highlight top/bottom performers</t>
  </si>
  <si>
    <t>STEP-BY-STEP TASKS:</t>
  </si>
  <si>
    <t>Step 1: Open Sales_Data sheet. Notice columns: Revenue = Units × Price × (1-Discount)</t>
  </si>
  <si>
    <t>Step 2: Go to Dashboard sheet. All KPIs use SUMIF/AVERAGE formulas — study them.</t>
  </si>
  <si>
    <t>Step 3: Select Sales_Data A1:L21 → Insert → Pivot Table → New Sheet</t>
  </si>
  <si>
    <t>Step 4: In Pivot Table: Rows=Month, Columns=Category, Values=Revenue (Sum)</t>
  </si>
  <si>
    <t>Step 5: Insert a Bar Chart from the Pivot Table to show revenue by region</t>
  </si>
  <si>
    <t>Step 6: Add Conditional Formatting to Profit column: Green for &gt;500, Red for &lt;200</t>
  </si>
  <si>
    <t>Step 7: Add a slicer to Pivot Table for Region filtering</t>
  </si>
  <si>
    <t>INTERVIEW QUESTIONS THIS COVERS:</t>
  </si>
  <si>
    <t>Q: What is the difference between SUMIF and SUMIFS?</t>
  </si>
  <si>
    <t>Q: When would you use a Pivot Table vs a formula?</t>
  </si>
  <si>
    <t>Q: How do you handle missing data in Excel?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</si>
</sst>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6"/>
      <color rgb="FF1F4E79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4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BDD7EE"/>
      </patternFill>
    </fill>
    <fill>
      <patternFill patternType="solid">
        <fgColor rgb="FFBDD7EE"/>
        <bgColor rgb="FFD6E4F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9" fontId="0" fillId="0" borderId="0" xfId="0" applyNumberFormat="1"/>
    <xf numFmtId="4" fontId="0" fillId="0" borderId="0" xfId="0" applyNumberFormat="1"/>
    <xf numFmtId="0" fontId="4" fillId="4" borderId="0" xfId="0" applyFont="1" applyFill="1"/>
    <xf numFmtId="164" fontId="0" fillId="0" borderId="0" xfId="0" applyNumberFormat="1"/>
    <xf numFmtId="0" fontId="4" fillId="5" borderId="0" xfId="0" applyFont="1" applyFill="1"/>
    <xf numFmtId="0" fontId="0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6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pivotButton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3" borderId="0" xfId="0" applyFont="1" applyFill="1" applyBorder="1" applyAlignment="1"/>
    <xf numFmtId="0" fontId="1" fillId="3" borderId="0" xfId="0" applyFont="1" applyFill="1" applyBorder="1" applyAlignmen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13" formatCode="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[project1_sales_dashboard.xlsx]Pivot table &amp; charts!PivotTable2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&amp; charts'!$G$2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 charts'!$F$3:$F$7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&amp; charts'!$G$3:$G$7</c:f>
              <c:numCache>
                <c:formatCode>#,##0.00</c:formatCode>
                <c:ptCount val="4"/>
                <c:pt idx="0">
                  <c:v>22293</c:v>
                </c:pt>
                <c:pt idx="1">
                  <c:v>25132</c:v>
                </c:pt>
                <c:pt idx="2">
                  <c:v>23676</c:v>
                </c:pt>
                <c:pt idx="3">
                  <c:v>22554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B-4DDF-BACF-CE3F240EB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0648328"/>
        <c:axId val="1071469576"/>
      </c:barChart>
      <c:catAx>
        <c:axId val="1070648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69576"/>
        <c:crosses val="autoZero"/>
        <c:auto val="1"/>
        <c:lblAlgn val="ctr"/>
        <c:lblOffset val="100"/>
        <c:noMultiLvlLbl val="0"/>
      </c:catAx>
      <c:valAx>
        <c:axId val="10714695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070648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</xdr:row>
      <xdr:rowOff>0</xdr:rowOff>
    </xdr:from>
    <xdr:to>
      <xdr:col>15</xdr:col>
      <xdr:colOff>19050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A8ABBA-E751-2DEE-E27F-08FEFAA43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438150</xdr:colOff>
      <xdr:row>3</xdr:row>
      <xdr:rowOff>142875</xdr:rowOff>
    </xdr:from>
    <xdr:to>
      <xdr:col>10</xdr:col>
      <xdr:colOff>438150</xdr:colOff>
      <xdr:row>17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705662AA-DBEE-E750-D533-1A0B75B1B5E7}"/>
                </a:ext>
                <a:ext uri="{147F2762-F138-4A5C-976F-8EAC2B608ADB}">
                  <a16:predDERef xmlns:a16="http://schemas.microsoft.com/office/drawing/2014/main" pred="{94A8ABBA-E751-2DEE-E27F-08FEFAA435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714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070208796293" createdVersion="8" refreshedVersion="8" minRefreshableVersion="3" recordCount="20" xr:uid="{DA235FDD-1287-4103-A21C-60AFD58F9056}">
  <cacheSource type="worksheet">
    <worksheetSource name="Table1"/>
  </cacheSource>
  <cacheFields count="13">
    <cacheField name="Order_ID" numFmtId="0">
      <sharedItems/>
    </cacheField>
    <cacheField name="Months" numFmtId="0">
      <sharedItems count="5">
        <s v="Jan"/>
        <s v="Feb"/>
        <s v="Mar"/>
        <s v="Apr"/>
        <s v="May"/>
      </sharedItems>
    </cacheField>
    <cacheField name="Date" numFmtId="0">
      <sharedItems/>
    </cacheField>
    <cacheField name="Salesperson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Units_Sold" numFmtId="0">
      <sharedItems containsSemiMixedTypes="0" containsString="0" containsNumber="1" containsInteger="1" minValue="3" maxValue="60"/>
    </cacheField>
    <cacheField name="Unit_Price" numFmtId="0">
      <sharedItems containsSemiMixedTypes="0" containsString="0" containsNumber="1" containsInteger="1" minValue="80" maxValue="1200"/>
    </cacheField>
    <cacheField name="Discount_%" numFmtId="9">
      <sharedItems containsSemiMixedTypes="0" containsString="0" containsNumber="1" minValue="0" maxValue="0.1"/>
    </cacheField>
    <cacheField name="Revenue" numFmtId="4">
      <sharedItems containsSemiMixedTypes="0" containsString="0" containsNumber="1" containsInteger="1" minValue="2700" maxValue="7980"/>
    </cacheField>
    <cacheField name="Cost" numFmtId="4">
      <sharedItems containsSemiMixedTypes="0" containsString="0" containsNumber="1" containsInteger="1" minValue="1650" maxValue="5600"/>
    </cacheField>
    <cacheField name="Profit" numFmtId="4">
      <sharedItems containsSemiMixedTypes="0" containsString="0" containsNumber="1" containsInteger="1" minValue="980" maxValue="2875"/>
    </cacheField>
  </cacheFields>
  <extLst>
    <ext xmlns:x14="http://schemas.microsoft.com/office/spreadsheetml/2009/9/main" uri="{725AE2AE-9491-48be-B2B4-4EB974FC3084}">
      <x14:pivotCacheDefinition pivotCacheId="18456949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-001"/>
    <x v="0"/>
    <s v="2024-01-05"/>
    <s v="Ali Hassan"/>
    <x v="0"/>
    <s v="Laptop Pro"/>
    <x v="0"/>
    <n v="5"/>
    <n v="1200"/>
    <n v="0.05"/>
    <n v="5700"/>
    <n v="4000"/>
    <n v="1700"/>
  </r>
  <r>
    <s v="ORD-002"/>
    <x v="0"/>
    <s v="2024-01-12"/>
    <s v="Sara Ahmed"/>
    <x v="1"/>
    <s v="Office Chair"/>
    <x v="1"/>
    <n v="20"/>
    <n v="350"/>
    <n v="0.1"/>
    <n v="6300"/>
    <n v="4000"/>
    <n v="2300"/>
  </r>
  <r>
    <s v="ORD-003"/>
    <x v="0"/>
    <s v="2024-01-18"/>
    <s v="Bilal Khan"/>
    <x v="2"/>
    <s v="Printer X"/>
    <x v="0"/>
    <n v="8"/>
    <n v="450"/>
    <n v="0"/>
    <n v="3600"/>
    <n v="2240"/>
    <n v="1360"/>
  </r>
  <r>
    <s v="ORD-004"/>
    <x v="0"/>
    <s v="2024-01-25"/>
    <s v="Fatima Mir"/>
    <x v="3"/>
    <s v="Standing Desk"/>
    <x v="1"/>
    <n v="12"/>
    <n v="600"/>
    <n v="0.08"/>
    <n v="6624"/>
    <n v="4200"/>
    <n v="2424"/>
  </r>
  <r>
    <s v="ORD-005"/>
    <x v="1"/>
    <s v="2024-02-03"/>
    <s v="Ali Hassan"/>
    <x v="0"/>
    <s v="Laptop Pro"/>
    <x v="0"/>
    <n v="7"/>
    <n v="1200"/>
    <n v="0.05"/>
    <n v="7980"/>
    <n v="5600"/>
    <n v="2380"/>
  </r>
  <r>
    <s v="ORD-006"/>
    <x v="1"/>
    <s v="2024-02-10"/>
    <s v="Sara Ahmed"/>
    <x v="1"/>
    <s v="Headphones"/>
    <x v="0"/>
    <n v="30"/>
    <n v="120"/>
    <n v="0"/>
    <n v="3600"/>
    <n v="1800"/>
    <n v="1800"/>
  </r>
  <r>
    <s v="ORD-007"/>
    <x v="1"/>
    <s v="2024-02-14"/>
    <s v="Bilal Khan"/>
    <x v="2"/>
    <s v="Bookshelf"/>
    <x v="1"/>
    <n v="15"/>
    <n v="200"/>
    <n v="0.05"/>
    <n v="2850"/>
    <n v="1650"/>
    <n v="1200"/>
  </r>
  <r>
    <s v="ORD-008"/>
    <x v="1"/>
    <s v="2024-02-20"/>
    <s v="Fatima Mir"/>
    <x v="3"/>
    <s v="Monitor 27"/>
    <x v="0"/>
    <n v="10"/>
    <n v="320"/>
    <n v="0.1"/>
    <n v="2880"/>
    <n v="1900"/>
    <n v="980"/>
  </r>
  <r>
    <s v="ORD-009"/>
    <x v="2"/>
    <s v="2024-03-02"/>
    <s v="Ali Hassan"/>
    <x v="0"/>
    <s v="Keyboard"/>
    <x v="0"/>
    <n v="50"/>
    <n v="80"/>
    <n v="0"/>
    <n v="4000"/>
    <n v="2000"/>
    <n v="2000"/>
  </r>
  <r>
    <s v="ORD-010"/>
    <x v="2"/>
    <s v="2024-03-09"/>
    <s v="Sara Ahmed"/>
    <x v="1"/>
    <s v="Laptop Pro"/>
    <x v="0"/>
    <n v="4"/>
    <n v="1200"/>
    <n v="0.05"/>
    <n v="4560"/>
    <n v="3200"/>
    <n v="1360"/>
  </r>
  <r>
    <s v="ORD-011"/>
    <x v="2"/>
    <s v="2024-03-15"/>
    <s v="Bilal Khan"/>
    <x v="2"/>
    <s v="Office Chair"/>
    <x v="1"/>
    <n v="25"/>
    <n v="350"/>
    <n v="0.1"/>
    <n v="7875"/>
    <n v="5000"/>
    <n v="2875"/>
  </r>
  <r>
    <s v="ORD-012"/>
    <x v="2"/>
    <s v="2024-03-22"/>
    <s v="Fatima Mir"/>
    <x v="3"/>
    <s v="Printer X"/>
    <x v="0"/>
    <n v="6"/>
    <n v="450"/>
    <n v="0"/>
    <n v="2700"/>
    <n v="1680"/>
    <n v="1020"/>
  </r>
  <r>
    <s v="ORD-013"/>
    <x v="3"/>
    <s v="2024-04-01"/>
    <s v="Ali Hassan"/>
    <x v="0"/>
    <s v="Monitor 27"/>
    <x v="0"/>
    <n v="14"/>
    <n v="320"/>
    <n v="0.1"/>
    <n v="4032"/>
    <n v="2660"/>
    <n v="1372"/>
  </r>
  <r>
    <s v="ORD-014"/>
    <x v="3"/>
    <s v="2024-04-08"/>
    <s v="Sara Ahmed"/>
    <x v="1"/>
    <s v="Standing Desk"/>
    <x v="1"/>
    <n v="8"/>
    <n v="600"/>
    <n v="0.08"/>
    <n v="4416"/>
    <n v="2800"/>
    <n v="1616"/>
  </r>
  <r>
    <s v="ORD-015"/>
    <x v="3"/>
    <s v="2024-04-15"/>
    <s v="Bilal Khan"/>
    <x v="2"/>
    <s v="Headphones"/>
    <x v="0"/>
    <n v="40"/>
    <n v="120"/>
    <n v="0"/>
    <n v="4800"/>
    <n v="2400"/>
    <n v="2400"/>
  </r>
  <r>
    <s v="ORD-016"/>
    <x v="3"/>
    <s v="2024-04-22"/>
    <s v="Fatima Mir"/>
    <x v="3"/>
    <s v="Laptop Pro"/>
    <x v="0"/>
    <n v="3"/>
    <n v="1200"/>
    <n v="0.05"/>
    <n v="3420"/>
    <n v="2400"/>
    <n v="1020"/>
  </r>
  <r>
    <s v="ORD-017"/>
    <x v="4"/>
    <s v="2024-05-05"/>
    <s v="Ali Hassan"/>
    <x v="0"/>
    <s v="Bookshelf"/>
    <x v="1"/>
    <n v="18"/>
    <n v="200"/>
    <n v="0.05"/>
    <n v="3420"/>
    <n v="1980"/>
    <n v="1440"/>
  </r>
  <r>
    <s v="ORD-018"/>
    <x v="4"/>
    <s v="2024-05-12"/>
    <s v="Sara Ahmed"/>
    <x v="1"/>
    <s v="Keyboard"/>
    <x v="0"/>
    <n v="60"/>
    <n v="80"/>
    <n v="0"/>
    <n v="4800"/>
    <n v="2400"/>
    <n v="2400"/>
  </r>
  <r>
    <s v="ORD-019"/>
    <x v="4"/>
    <s v="2024-05-19"/>
    <s v="Bilal Khan"/>
    <x v="2"/>
    <s v="Monitor 27"/>
    <x v="0"/>
    <n v="11"/>
    <n v="320"/>
    <n v="0.1"/>
    <n v="3168"/>
    <n v="2090"/>
    <n v="1078"/>
  </r>
  <r>
    <s v="ORD-020"/>
    <x v="4"/>
    <s v="2024-05-26"/>
    <s v="Fatima Mir"/>
    <x v="3"/>
    <s v="Office Chair"/>
    <x v="1"/>
    <n v="22"/>
    <n v="350"/>
    <n v="0.1"/>
    <n v="6930"/>
    <n v="4400"/>
    <n v="25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6F8BA-7D86-4348-9C3F-0C22C901E7CA}" name="PivotTable2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F2:G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numFmtId="4" outline="0" showAll="0"/>
    <pivotField compact="0" numFmtId="4" outline="0" showAll="0"/>
    <pivotField compact="0" numFmtId="4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0" baseField="0" baseItem="0" numFmtId="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65CA2-249D-4127-B5EC-6C8BC7048020}" name="PivotTable1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:C17" firstHeaderRow="1" firstDataRow="1" firstDataCol="2"/>
  <pivotFields count="13"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numFmtId="9" outline="0" showAll="0"/>
    <pivotField dataField="1" compact="0" numFmtId="4" outline="0" showAll="0"/>
    <pivotField compact="0" numFmtId="4" outline="0" showAll="0"/>
    <pivotField compact="0" numFmtId="4" outline="0" showAll="0"/>
  </pivotFields>
  <rowFields count="2">
    <field x="1"/>
    <field x="6"/>
  </rowFields>
  <rowItems count="16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 t="grand">
      <x/>
    </i>
  </rowItems>
  <colItems count="1">
    <i/>
  </colItems>
  <dataFields count="1">
    <dataField name="Sum of Revenue" fld="10" baseField="0" baseItem="0" numFmtId="4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342B58AB-1B9E-408D-86E8-F7795F9F45D6}" sourceName="Region">
  <pivotTables>
    <pivotTable tabId="6" name="PivotTable2"/>
  </pivotTables>
  <data>
    <tabular pivotCacheId="1845694917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C41C6CD-1A33-4553-A742-ABBD8C26B320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15624-3E1B-46E7-B25F-A2E89F6CC9E2}" name="Table1" displayName="Table1" ref="A1:M21" totalsRowShown="0" headerRowDxfId="5">
  <autoFilter ref="A1:M21" xr:uid="{FEE15624-3E1B-46E7-B25F-A2E89F6CC9E2}"/>
  <tableColumns count="13">
    <tableColumn id="1" xr3:uid="{34E42165-99CD-4B5A-9A5A-859C61346D57}" name="Order_ID"/>
    <tableColumn id="13" xr3:uid="{A55485B3-C6E6-4A66-8C50-CA72692256CD}" name="Months" dataDxfId="4">
      <calculatedColumnFormula>TEXT(Table1[[#This Row],[Date]],"mmm")</calculatedColumnFormula>
    </tableColumn>
    <tableColumn id="2" xr3:uid="{B3D7F1FB-BDA7-4B19-9011-093DF7EF111B}" name="Date"/>
    <tableColumn id="3" xr3:uid="{3F02A84D-BFD8-42DC-A777-B88C3C91D102}" name="Salesperson"/>
    <tableColumn id="4" xr3:uid="{28047B0C-156B-4AA8-AE64-BA6E17182BCC}" name="Region"/>
    <tableColumn id="5" xr3:uid="{7CB564E3-72B8-4AA3-8F2F-7A64F299EFF6}" name="Product"/>
    <tableColumn id="6" xr3:uid="{087A8C90-41B1-4CF0-A3D6-49A74C00960D}" name="Category"/>
    <tableColumn id="7" xr3:uid="{EAA32576-4430-4EC5-9C1A-B18B93C27B43}" name="Units_Sold"/>
    <tableColumn id="8" xr3:uid="{794FA9D9-14CD-43B3-BE7C-686EED51A5AF}" name="Unit_Price"/>
    <tableColumn id="9" xr3:uid="{0426474A-BFC4-4798-AD8F-678DA07DBB62}" name="Discount_%" dataDxfId="3"/>
    <tableColumn id="10" xr3:uid="{143894A3-3F5C-4FA5-88AE-7E75934CD070}" name="Revenue" dataDxfId="2">
      <calculatedColumnFormula>I2*H2*(1-J2)</calculatedColumnFormula>
    </tableColumn>
    <tableColumn id="11" xr3:uid="{F7A5E597-33D8-4AE7-A1A4-21D9996317C2}" name="Cost" dataDxfId="1"/>
    <tableColumn id="12" xr3:uid="{22EAE56E-3917-453C-99E6-67ABA2C668A9}" name="Profit" dataDxfId="0">
      <calculatedColumnFormula>K2-L2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Normal="100" workbookViewId="0">
      <pane ySplit="1" topLeftCell="A2" activePane="bottomLeft" state="frozen"/>
      <selection pane="bottomLeft" activeCell="O14" sqref="O14"/>
    </sheetView>
  </sheetViews>
  <sheetFormatPr defaultColWidth="8.7109375" defaultRowHeight="15"/>
  <cols>
    <col min="1" max="1" width="8.7109375" bestFit="1" customWidth="1"/>
    <col min="2" max="2" width="8.7109375" customWidth="1"/>
    <col min="3" max="3" width="14" customWidth="1"/>
    <col min="4" max="4" width="16.5703125" customWidth="1"/>
    <col min="5" max="5" width="14.140625" customWidth="1"/>
    <col min="6" max="6" width="13.140625" customWidth="1"/>
    <col min="7" max="7" width="19" customWidth="1"/>
    <col min="8" max="8" width="3" bestFit="1" customWidth="1"/>
    <col min="9" max="9" width="9.42578125" customWidth="1"/>
    <col min="10" max="10" width="8" customWidth="1"/>
    <col min="11" max="11" width="15" customWidth="1"/>
    <col min="12" max="12" width="14.85546875" customWidth="1"/>
    <col min="13" max="13" width="19.57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10" t="str">
        <f>TEXT(Table1[[#This Row],[Date]],"mmm")</f>
        <v>Jan</v>
      </c>
      <c r="C2" t="s">
        <v>14</v>
      </c>
      <c r="D2" s="10" t="s">
        <v>15</v>
      </c>
      <c r="E2" t="s">
        <v>16</v>
      </c>
      <c r="F2" t="s">
        <v>17</v>
      </c>
      <c r="G2" t="s">
        <v>18</v>
      </c>
      <c r="H2">
        <v>5</v>
      </c>
      <c r="I2">
        <v>1200</v>
      </c>
      <c r="J2" s="2">
        <v>0.05</v>
      </c>
      <c r="K2" s="3">
        <f>I2*H2*(1-J2)</f>
        <v>5700</v>
      </c>
      <c r="L2" s="3">
        <f>H2*800</f>
        <v>4000</v>
      </c>
      <c r="M2" s="3">
        <f>K2-L2</f>
        <v>1700</v>
      </c>
    </row>
    <row r="3" spans="1:13">
      <c r="A3" t="s">
        <v>19</v>
      </c>
      <c r="B3" t="str">
        <f>TEXT(Table1[[#This Row],[Date]],"mmm")</f>
        <v>Jan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20</v>
      </c>
      <c r="I3">
        <v>350</v>
      </c>
      <c r="J3" s="2">
        <v>0.1</v>
      </c>
      <c r="K3" s="3">
        <f>I3*H3*(1-J3)</f>
        <v>6300</v>
      </c>
      <c r="L3" s="3">
        <f>H3*200</f>
        <v>4000</v>
      </c>
      <c r="M3" s="3">
        <f>K3-L3</f>
        <v>2300</v>
      </c>
    </row>
    <row r="4" spans="1:13">
      <c r="A4" t="s">
        <v>25</v>
      </c>
      <c r="B4" t="str">
        <f>TEXT(Table1[[#This Row],[Date]],"mmm")</f>
        <v>Jan</v>
      </c>
      <c r="C4" t="s">
        <v>26</v>
      </c>
      <c r="D4" t="s">
        <v>27</v>
      </c>
      <c r="E4" t="s">
        <v>28</v>
      </c>
      <c r="F4" t="s">
        <v>29</v>
      </c>
      <c r="G4" t="s">
        <v>18</v>
      </c>
      <c r="H4">
        <v>8</v>
      </c>
      <c r="I4">
        <v>450</v>
      </c>
      <c r="J4" s="2">
        <v>0</v>
      </c>
      <c r="K4" s="3">
        <f>I4*H4*(1-J4)</f>
        <v>3600</v>
      </c>
      <c r="L4" s="3">
        <f>H4*280</f>
        <v>2240</v>
      </c>
      <c r="M4" s="3">
        <f>K4-L4</f>
        <v>1360</v>
      </c>
    </row>
    <row r="5" spans="1:13">
      <c r="A5" t="s">
        <v>30</v>
      </c>
      <c r="B5" t="str">
        <f>TEXT(Table1[[#This Row],[Date]],"mmm")</f>
        <v>Jan</v>
      </c>
      <c r="C5" t="s">
        <v>31</v>
      </c>
      <c r="D5" t="s">
        <v>32</v>
      </c>
      <c r="E5" t="s">
        <v>33</v>
      </c>
      <c r="F5" t="s">
        <v>34</v>
      </c>
      <c r="G5" t="s">
        <v>24</v>
      </c>
      <c r="H5">
        <v>12</v>
      </c>
      <c r="I5">
        <v>600</v>
      </c>
      <c r="J5" s="2">
        <v>0.08</v>
      </c>
      <c r="K5" s="3">
        <f>I5*H5*(1-J5)</f>
        <v>6624</v>
      </c>
      <c r="L5" s="3">
        <f>H5*350</f>
        <v>4200</v>
      </c>
      <c r="M5" s="3">
        <f>K5-L5</f>
        <v>2424</v>
      </c>
    </row>
    <row r="6" spans="1:13">
      <c r="A6" t="s">
        <v>35</v>
      </c>
      <c r="B6" t="str">
        <f>TEXT(Table1[[#This Row],[Date]],"mmm")</f>
        <v>Feb</v>
      </c>
      <c r="C6" t="s">
        <v>36</v>
      </c>
      <c r="D6" t="s">
        <v>15</v>
      </c>
      <c r="E6" t="s">
        <v>16</v>
      </c>
      <c r="F6" t="s">
        <v>17</v>
      </c>
      <c r="G6" t="s">
        <v>18</v>
      </c>
      <c r="H6">
        <v>7</v>
      </c>
      <c r="I6">
        <v>1200</v>
      </c>
      <c r="J6" s="2">
        <v>0.05</v>
      </c>
      <c r="K6" s="3">
        <f>I6*H6*(1-J6)</f>
        <v>7980</v>
      </c>
      <c r="L6" s="3">
        <f>H6*800</f>
        <v>5600</v>
      </c>
      <c r="M6" s="3">
        <f>K6-L6</f>
        <v>2380</v>
      </c>
    </row>
    <row r="7" spans="1:13">
      <c r="A7" t="s">
        <v>37</v>
      </c>
      <c r="B7" t="str">
        <f>TEXT(Table1[[#This Row],[Date]],"mmm")</f>
        <v>Feb</v>
      </c>
      <c r="C7" t="s">
        <v>38</v>
      </c>
      <c r="D7" t="s">
        <v>21</v>
      </c>
      <c r="E7" t="s">
        <v>22</v>
      </c>
      <c r="F7" t="s">
        <v>39</v>
      </c>
      <c r="G7" t="s">
        <v>18</v>
      </c>
      <c r="H7">
        <v>30</v>
      </c>
      <c r="I7">
        <v>120</v>
      </c>
      <c r="J7" s="2">
        <v>0</v>
      </c>
      <c r="K7" s="3">
        <f>I7*H7*(1-J7)</f>
        <v>3600</v>
      </c>
      <c r="L7" s="3">
        <f>H7*60</f>
        <v>1800</v>
      </c>
      <c r="M7" s="3">
        <f>K7-L7</f>
        <v>1800</v>
      </c>
    </row>
    <row r="8" spans="1:13">
      <c r="A8" t="s">
        <v>40</v>
      </c>
      <c r="B8" t="str">
        <f>TEXT(Table1[[#This Row],[Date]],"mmm")</f>
        <v>Feb</v>
      </c>
      <c r="C8" t="s">
        <v>41</v>
      </c>
      <c r="D8" t="s">
        <v>27</v>
      </c>
      <c r="E8" t="s">
        <v>28</v>
      </c>
      <c r="F8" t="s">
        <v>42</v>
      </c>
      <c r="G8" t="s">
        <v>24</v>
      </c>
      <c r="H8">
        <v>15</v>
      </c>
      <c r="I8">
        <v>200</v>
      </c>
      <c r="J8" s="2">
        <v>0.05</v>
      </c>
      <c r="K8" s="3">
        <f>I8*H8*(1-J8)</f>
        <v>2850</v>
      </c>
      <c r="L8" s="3">
        <f>H8*110</f>
        <v>1650</v>
      </c>
      <c r="M8" s="3">
        <f>K8-L8</f>
        <v>1200</v>
      </c>
    </row>
    <row r="9" spans="1:13">
      <c r="A9" t="s">
        <v>43</v>
      </c>
      <c r="B9" t="str">
        <f>TEXT(Table1[[#This Row],[Date]],"mmm")</f>
        <v>Feb</v>
      </c>
      <c r="C9" t="s">
        <v>44</v>
      </c>
      <c r="D9" t="s">
        <v>32</v>
      </c>
      <c r="E9" t="s">
        <v>33</v>
      </c>
      <c r="F9" t="s">
        <v>45</v>
      </c>
      <c r="G9" t="s">
        <v>18</v>
      </c>
      <c r="H9">
        <v>10</v>
      </c>
      <c r="I9">
        <v>320</v>
      </c>
      <c r="J9" s="2">
        <v>0.1</v>
      </c>
      <c r="K9" s="3">
        <f>I9*H9*(1-J9)</f>
        <v>2880</v>
      </c>
      <c r="L9" s="3">
        <f>H9*190</f>
        <v>1900</v>
      </c>
      <c r="M9" s="3">
        <f>K9-L9</f>
        <v>980</v>
      </c>
    </row>
    <row r="10" spans="1:13">
      <c r="A10" t="s">
        <v>46</v>
      </c>
      <c r="B10" t="str">
        <f>TEXT(Table1[[#This Row],[Date]],"mmm")</f>
        <v>Mar</v>
      </c>
      <c r="C10" t="s">
        <v>47</v>
      </c>
      <c r="D10" t="s">
        <v>15</v>
      </c>
      <c r="E10" t="s">
        <v>16</v>
      </c>
      <c r="F10" t="s">
        <v>48</v>
      </c>
      <c r="G10" t="s">
        <v>18</v>
      </c>
      <c r="H10">
        <v>50</v>
      </c>
      <c r="I10">
        <v>80</v>
      </c>
      <c r="J10" s="2">
        <v>0</v>
      </c>
      <c r="K10" s="3">
        <f>I10*H10*(1-J10)</f>
        <v>4000</v>
      </c>
      <c r="L10" s="3">
        <f>H10*40</f>
        <v>2000</v>
      </c>
      <c r="M10" s="3">
        <f>K10-L10</f>
        <v>2000</v>
      </c>
    </row>
    <row r="11" spans="1:13">
      <c r="A11" t="s">
        <v>49</v>
      </c>
      <c r="B11" t="str">
        <f>TEXT(Table1[[#This Row],[Date]],"mmm")</f>
        <v>Mar</v>
      </c>
      <c r="C11" t="s">
        <v>50</v>
      </c>
      <c r="D11" t="s">
        <v>21</v>
      </c>
      <c r="E11" t="s">
        <v>22</v>
      </c>
      <c r="F11" t="s">
        <v>17</v>
      </c>
      <c r="G11" t="s">
        <v>18</v>
      </c>
      <c r="H11">
        <v>4</v>
      </c>
      <c r="I11">
        <v>1200</v>
      </c>
      <c r="J11" s="2">
        <v>0.05</v>
      </c>
      <c r="K11" s="3">
        <f>I11*H11*(1-J11)</f>
        <v>4560</v>
      </c>
      <c r="L11" s="3">
        <f>H11*800</f>
        <v>3200</v>
      </c>
      <c r="M11" s="3">
        <f>K11-L11</f>
        <v>1360</v>
      </c>
    </row>
    <row r="12" spans="1:13">
      <c r="A12" t="s">
        <v>51</v>
      </c>
      <c r="B12" t="str">
        <f>TEXT(Table1[[#This Row],[Date]],"mmm")</f>
        <v>Mar</v>
      </c>
      <c r="C12" t="s">
        <v>52</v>
      </c>
      <c r="D12" t="s">
        <v>27</v>
      </c>
      <c r="E12" t="s">
        <v>28</v>
      </c>
      <c r="F12" t="s">
        <v>23</v>
      </c>
      <c r="G12" t="s">
        <v>24</v>
      </c>
      <c r="H12">
        <v>25</v>
      </c>
      <c r="I12">
        <v>350</v>
      </c>
      <c r="J12" s="2">
        <v>0.1</v>
      </c>
      <c r="K12" s="3">
        <f>I12*H12*(1-J12)</f>
        <v>7875</v>
      </c>
      <c r="L12" s="3">
        <f>H12*200</f>
        <v>5000</v>
      </c>
      <c r="M12" s="3">
        <f>K12-L12</f>
        <v>2875</v>
      </c>
    </row>
    <row r="13" spans="1:13">
      <c r="A13" t="s">
        <v>53</v>
      </c>
      <c r="B13" t="str">
        <f>TEXT(Table1[[#This Row],[Date]],"mmm")</f>
        <v>Mar</v>
      </c>
      <c r="C13" t="s">
        <v>54</v>
      </c>
      <c r="D13" t="s">
        <v>32</v>
      </c>
      <c r="E13" t="s">
        <v>33</v>
      </c>
      <c r="F13" t="s">
        <v>29</v>
      </c>
      <c r="G13" t="s">
        <v>18</v>
      </c>
      <c r="H13">
        <v>6</v>
      </c>
      <c r="I13">
        <v>450</v>
      </c>
      <c r="J13" s="2">
        <v>0</v>
      </c>
      <c r="K13" s="3">
        <f>I13*H13*(1-J13)</f>
        <v>2700</v>
      </c>
      <c r="L13" s="3">
        <f>H13*280</f>
        <v>1680</v>
      </c>
      <c r="M13" s="3">
        <f>K13-L13</f>
        <v>1020</v>
      </c>
    </row>
    <row r="14" spans="1:13">
      <c r="A14" t="s">
        <v>55</v>
      </c>
      <c r="B14" t="str">
        <f>TEXT(Table1[[#This Row],[Date]],"mmm")</f>
        <v>Apr</v>
      </c>
      <c r="C14" t="s">
        <v>56</v>
      </c>
      <c r="D14" t="s">
        <v>15</v>
      </c>
      <c r="E14" t="s">
        <v>16</v>
      </c>
      <c r="F14" t="s">
        <v>45</v>
      </c>
      <c r="G14" t="s">
        <v>18</v>
      </c>
      <c r="H14">
        <v>14</v>
      </c>
      <c r="I14">
        <v>320</v>
      </c>
      <c r="J14" s="2">
        <v>0.1</v>
      </c>
      <c r="K14" s="3">
        <f>I14*H14*(1-J14)</f>
        <v>4032</v>
      </c>
      <c r="L14" s="3">
        <f>H14*190</f>
        <v>2660</v>
      </c>
      <c r="M14" s="3">
        <f>K14-L14</f>
        <v>1372</v>
      </c>
    </row>
    <row r="15" spans="1:13">
      <c r="A15" t="s">
        <v>57</v>
      </c>
      <c r="B15" t="str">
        <f>TEXT(Table1[[#This Row],[Date]],"mmm")</f>
        <v>Apr</v>
      </c>
      <c r="C15" t="s">
        <v>58</v>
      </c>
      <c r="D15" t="s">
        <v>21</v>
      </c>
      <c r="E15" t="s">
        <v>22</v>
      </c>
      <c r="F15" t="s">
        <v>34</v>
      </c>
      <c r="G15" t="s">
        <v>24</v>
      </c>
      <c r="H15">
        <v>8</v>
      </c>
      <c r="I15">
        <v>600</v>
      </c>
      <c r="J15" s="2">
        <v>0.08</v>
      </c>
      <c r="K15" s="3">
        <f>I15*H15*(1-J15)</f>
        <v>4416</v>
      </c>
      <c r="L15" s="3">
        <f>H15*350</f>
        <v>2800</v>
      </c>
      <c r="M15" s="3">
        <f>K15-L15</f>
        <v>1616</v>
      </c>
    </row>
    <row r="16" spans="1:13">
      <c r="A16" t="s">
        <v>59</v>
      </c>
      <c r="B16" t="str">
        <f>TEXT(Table1[[#This Row],[Date]],"mmm")</f>
        <v>Apr</v>
      </c>
      <c r="C16" t="s">
        <v>60</v>
      </c>
      <c r="D16" t="s">
        <v>27</v>
      </c>
      <c r="E16" t="s">
        <v>28</v>
      </c>
      <c r="F16" t="s">
        <v>39</v>
      </c>
      <c r="G16" t="s">
        <v>18</v>
      </c>
      <c r="H16">
        <v>40</v>
      </c>
      <c r="I16">
        <v>120</v>
      </c>
      <c r="J16" s="2">
        <v>0</v>
      </c>
      <c r="K16" s="3">
        <f>I16*H16*(1-J16)</f>
        <v>4800</v>
      </c>
      <c r="L16" s="3">
        <f>H16*60</f>
        <v>2400</v>
      </c>
      <c r="M16" s="3">
        <f>K16-L16</f>
        <v>2400</v>
      </c>
    </row>
    <row r="17" spans="1:13">
      <c r="A17" t="s">
        <v>61</v>
      </c>
      <c r="B17" t="str">
        <f>TEXT(Table1[[#This Row],[Date]],"mmm")</f>
        <v>Apr</v>
      </c>
      <c r="C17" t="s">
        <v>62</v>
      </c>
      <c r="D17" t="s">
        <v>32</v>
      </c>
      <c r="E17" t="s">
        <v>33</v>
      </c>
      <c r="F17" t="s">
        <v>17</v>
      </c>
      <c r="G17" t="s">
        <v>18</v>
      </c>
      <c r="H17">
        <v>3</v>
      </c>
      <c r="I17">
        <v>1200</v>
      </c>
      <c r="J17" s="2">
        <v>0.05</v>
      </c>
      <c r="K17" s="3">
        <f>I17*H17*(1-J17)</f>
        <v>3420</v>
      </c>
      <c r="L17" s="3">
        <f>H17*800</f>
        <v>2400</v>
      </c>
      <c r="M17" s="3">
        <f>K17-L17</f>
        <v>1020</v>
      </c>
    </row>
    <row r="18" spans="1:13">
      <c r="A18" t="s">
        <v>63</v>
      </c>
      <c r="B18" t="str">
        <f>TEXT(Table1[[#This Row],[Date]],"mmm")</f>
        <v>May</v>
      </c>
      <c r="C18" t="s">
        <v>64</v>
      </c>
      <c r="D18" t="s">
        <v>15</v>
      </c>
      <c r="E18" t="s">
        <v>16</v>
      </c>
      <c r="F18" t="s">
        <v>42</v>
      </c>
      <c r="G18" t="s">
        <v>24</v>
      </c>
      <c r="H18">
        <v>18</v>
      </c>
      <c r="I18">
        <v>200</v>
      </c>
      <c r="J18" s="2">
        <v>0.05</v>
      </c>
      <c r="K18" s="3">
        <f>I18*H18*(1-J18)</f>
        <v>3420</v>
      </c>
      <c r="L18" s="3">
        <f>H18*110</f>
        <v>1980</v>
      </c>
      <c r="M18" s="3">
        <f>K18-L18</f>
        <v>1440</v>
      </c>
    </row>
    <row r="19" spans="1:13">
      <c r="A19" t="s">
        <v>65</v>
      </c>
      <c r="B19" t="str">
        <f>TEXT(Table1[[#This Row],[Date]],"mmm")</f>
        <v>May</v>
      </c>
      <c r="C19" t="s">
        <v>66</v>
      </c>
      <c r="D19" t="s">
        <v>21</v>
      </c>
      <c r="E19" t="s">
        <v>22</v>
      </c>
      <c r="F19" t="s">
        <v>48</v>
      </c>
      <c r="G19" t="s">
        <v>18</v>
      </c>
      <c r="H19">
        <v>60</v>
      </c>
      <c r="I19">
        <v>80</v>
      </c>
      <c r="J19" s="2">
        <v>0</v>
      </c>
      <c r="K19" s="3">
        <f>I19*H19*(1-J19)</f>
        <v>4800</v>
      </c>
      <c r="L19" s="3">
        <f>H19*40</f>
        <v>2400</v>
      </c>
      <c r="M19" s="3">
        <f>K19-L19</f>
        <v>2400</v>
      </c>
    </row>
    <row r="20" spans="1:13">
      <c r="A20" t="s">
        <v>67</v>
      </c>
      <c r="B20" t="str">
        <f>TEXT(Table1[[#This Row],[Date]],"mmm")</f>
        <v>May</v>
      </c>
      <c r="C20" t="s">
        <v>68</v>
      </c>
      <c r="D20" t="s">
        <v>27</v>
      </c>
      <c r="E20" t="s">
        <v>28</v>
      </c>
      <c r="F20" t="s">
        <v>45</v>
      </c>
      <c r="G20" t="s">
        <v>18</v>
      </c>
      <c r="H20">
        <v>11</v>
      </c>
      <c r="I20">
        <v>320</v>
      </c>
      <c r="J20" s="2">
        <v>0.1</v>
      </c>
      <c r="K20" s="3">
        <f>I20*H20*(1-J20)</f>
        <v>3168</v>
      </c>
      <c r="L20" s="3">
        <f>H20*190</f>
        <v>2090</v>
      </c>
      <c r="M20" s="3">
        <f>K20-L20</f>
        <v>1078</v>
      </c>
    </row>
    <row r="21" spans="1:13">
      <c r="A21" t="s">
        <v>69</v>
      </c>
      <c r="B21" t="str">
        <f>TEXT(Table1[[#This Row],[Date]],"mmm")</f>
        <v>May</v>
      </c>
      <c r="C21" t="s">
        <v>70</v>
      </c>
      <c r="D21" t="s">
        <v>32</v>
      </c>
      <c r="E21" t="s">
        <v>33</v>
      </c>
      <c r="F21" t="s">
        <v>23</v>
      </c>
      <c r="G21" t="s">
        <v>24</v>
      </c>
      <c r="H21">
        <v>22</v>
      </c>
      <c r="I21">
        <v>350</v>
      </c>
      <c r="J21" s="2">
        <v>0.1</v>
      </c>
      <c r="K21" s="3">
        <f>I21*H21*(1-J21)</f>
        <v>6930</v>
      </c>
      <c r="L21" s="3">
        <f>H21*200</f>
        <v>4400</v>
      </c>
      <c r="M21" s="3">
        <f>K21-L21</f>
        <v>2530</v>
      </c>
    </row>
  </sheetData>
  <conditionalFormatting sqref="M2:M21">
    <cfRule type="cellIs" dxfId="7" priority="2" operator="greaterThan">
      <formula>2000</formula>
    </cfRule>
  </conditionalFormatting>
  <conditionalFormatting sqref="M2:M21">
    <cfRule type="cellIs" dxfId="6" priority="1" operator="lessThan">
      <formula>1000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0528-F2AE-4608-8213-8B38B1068C5B}">
  <dimension ref="A1:F3"/>
  <sheetViews>
    <sheetView workbookViewId="0">
      <selection sqref="A1:B1"/>
    </sheetView>
  </sheetViews>
  <sheetFormatPr defaultRowHeight="15"/>
  <cols>
    <col min="1" max="1" width="12.85546875" customWidth="1"/>
    <col min="2" max="2" width="16.85546875" customWidth="1"/>
    <col min="4" max="4" width="10.5703125" bestFit="1" customWidth="1"/>
  </cols>
  <sheetData>
    <row r="1" spans="1:6" ht="18.75">
      <c r="A1" s="16" t="s">
        <v>71</v>
      </c>
      <c r="B1" s="16"/>
      <c r="D1" s="16" t="s">
        <v>72</v>
      </c>
      <c r="E1" s="16"/>
      <c r="F1" s="16"/>
    </row>
    <row r="2" spans="1:6">
      <c r="A2" s="1" t="s">
        <v>5</v>
      </c>
      <c r="B2" s="1" t="s">
        <v>12</v>
      </c>
      <c r="D2" s="1" t="s">
        <v>5</v>
      </c>
      <c r="E2" s="1" t="s">
        <v>12</v>
      </c>
    </row>
    <row r="3" spans="1:6">
      <c r="A3" s="11" t="s">
        <v>73</v>
      </c>
      <c r="B3" s="10">
        <f>VLOOKUP(A3,Table1[[Product]:[Profit]],8,FALSE)</f>
        <v>2300</v>
      </c>
      <c r="D3" t="s">
        <v>73</v>
      </c>
      <c r="E3">
        <f>_xlfn.XLOOKUP(D3,Table1[Product],Table1[Profit])</f>
        <v>2300</v>
      </c>
    </row>
  </sheetData>
  <mergeCells count="2">
    <mergeCell ref="A1:B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8D65-E4C2-4F00-88C5-5FD0FC8B0075}">
  <dimension ref="C2:G4"/>
  <sheetViews>
    <sheetView workbookViewId="0">
      <selection activeCell="F5" sqref="F5"/>
    </sheetView>
  </sheetViews>
  <sheetFormatPr defaultRowHeight="15"/>
  <cols>
    <col min="7" max="7" width="13.42578125" bestFit="1" customWidth="1"/>
  </cols>
  <sheetData>
    <row r="2" spans="3:7" ht="18.75">
      <c r="C2" s="17" t="s">
        <v>74</v>
      </c>
      <c r="D2" s="17"/>
      <c r="F2" s="18" t="s">
        <v>75</v>
      </c>
      <c r="G2" s="18"/>
    </row>
    <row r="3" spans="3:7">
      <c r="C3" s="13" t="s">
        <v>4</v>
      </c>
      <c r="D3" s="13" t="s">
        <v>10</v>
      </c>
      <c r="F3" s="12" t="s">
        <v>4</v>
      </c>
      <c r="G3" s="12" t="s">
        <v>76</v>
      </c>
    </row>
    <row r="4" spans="3:7">
      <c r="C4" s="14" t="s">
        <v>16</v>
      </c>
      <c r="D4" s="14">
        <f>SUMIF(Table1[Region],'sumif &amp; countif'!C4,Table1[Revenue])</f>
        <v>25132</v>
      </c>
      <c r="F4" t="s">
        <v>77</v>
      </c>
      <c r="G4">
        <f>COUNTIF(Table1[Region],'sumif &amp; countif'!F4)</f>
        <v>5</v>
      </c>
    </row>
  </sheetData>
  <mergeCells count="2">
    <mergeCell ref="C2:D2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zoomScaleNormal="100" workbookViewId="0">
      <selection activeCell="D15" sqref="D15"/>
    </sheetView>
  </sheetViews>
  <sheetFormatPr defaultColWidth="8.7109375" defaultRowHeight="15"/>
  <cols>
    <col min="1" max="1" width="22" customWidth="1"/>
    <col min="2" max="2" width="16" customWidth="1"/>
    <col min="3" max="3" width="14" customWidth="1"/>
    <col min="4" max="4" width="20" customWidth="1"/>
    <col min="5" max="6" width="16" customWidth="1"/>
    <col min="7" max="7" width="12" customWidth="1"/>
  </cols>
  <sheetData>
    <row r="1" spans="1:8" ht="19.7">
      <c r="A1" s="19" t="s">
        <v>78</v>
      </c>
      <c r="B1" s="19"/>
      <c r="C1" s="19"/>
      <c r="D1" s="19"/>
      <c r="E1" s="19"/>
      <c r="F1" s="19"/>
      <c r="G1" s="19"/>
      <c r="H1" s="19"/>
    </row>
    <row r="3" spans="1:8">
      <c r="A3" s="20" t="s">
        <v>79</v>
      </c>
      <c r="B3" s="20"/>
      <c r="C3" s="20"/>
      <c r="D3" s="20"/>
    </row>
    <row r="4" spans="1:8">
      <c r="A4" s="4" t="s">
        <v>80</v>
      </c>
      <c r="B4" s="3">
        <f>SUM(Sales_Data!K2:K21)</f>
        <v>93655</v>
      </c>
      <c r="C4" s="4" t="s">
        <v>81</v>
      </c>
      <c r="D4" s="3">
        <f>COUNTA(Sales_Data!A2:A21)</f>
        <v>20</v>
      </c>
    </row>
    <row r="5" spans="1:8">
      <c r="A5" s="4" t="s">
        <v>82</v>
      </c>
      <c r="B5" s="3">
        <f>SUM(Sales_Data!M2:M21)</f>
        <v>35255</v>
      </c>
      <c r="C5" s="4" t="s">
        <v>83</v>
      </c>
      <c r="D5" s="3">
        <f>AVERAGE(Sales_Data!K2:K21)</f>
        <v>4682.75</v>
      </c>
    </row>
    <row r="6" spans="1:8">
      <c r="A6" s="4" t="s">
        <v>84</v>
      </c>
      <c r="B6" s="3">
        <f>SUM(Sales_Data!H2:H21)</f>
        <v>368</v>
      </c>
      <c r="C6" s="4" t="s">
        <v>85</v>
      </c>
      <c r="D6" s="5">
        <f>SUM(Sales_Data!M2:M21)/SUM(Sales_Data!K2:K21)</f>
        <v>0.37643478725108109</v>
      </c>
    </row>
    <row r="8" spans="1:8">
      <c r="A8" s="21" t="s">
        <v>86</v>
      </c>
      <c r="B8" s="21"/>
      <c r="C8" s="21"/>
      <c r="E8" s="21" t="s">
        <v>87</v>
      </c>
      <c r="F8" s="21"/>
      <c r="G8" s="21"/>
    </row>
    <row r="9" spans="1:8">
      <c r="A9" s="6" t="s">
        <v>4</v>
      </c>
      <c r="B9" s="6" t="s">
        <v>88</v>
      </c>
      <c r="C9" s="6" t="s">
        <v>89</v>
      </c>
      <c r="E9" s="6" t="s">
        <v>3</v>
      </c>
      <c r="F9" s="6" t="s">
        <v>88</v>
      </c>
      <c r="G9" s="6" t="s">
        <v>90</v>
      </c>
    </row>
    <row r="10" spans="1:8">
      <c r="A10" t="s">
        <v>16</v>
      </c>
      <c r="B10" s="3">
        <f>SUMIF(Table1[Region],A10,Table1[Revenue])</f>
        <v>25132</v>
      </c>
      <c r="C10" s="3">
        <f>SUMIF(Table1[Region],Dashboard!A10,Table1[Profit])</f>
        <v>8892</v>
      </c>
      <c r="E10" s="7" t="s">
        <v>15</v>
      </c>
      <c r="F10" s="3">
        <f>SUMIF(Table1[Salesperson],E10,Table1[Revenue])</f>
        <v>25132</v>
      </c>
      <c r="G10" s="7">
        <f>SUMIF(Table1[Salesperson],E10,Table1[Units_Sold])</f>
        <v>94</v>
      </c>
    </row>
    <row r="11" spans="1:8">
      <c r="A11" t="s">
        <v>22</v>
      </c>
      <c r="B11" s="3">
        <f>SUMIF(Table1[Region],A11,Table1[Revenue])</f>
        <v>23676</v>
      </c>
      <c r="C11" s="3">
        <f>SUMIF(Table1[Region],Dashboard!A11,Table1[Profit])</f>
        <v>9476</v>
      </c>
      <c r="E11" s="7" t="s">
        <v>21</v>
      </c>
      <c r="F11" s="3">
        <f>SUMIF(Table1[Salesperson],E11,Table1[Revenue])</f>
        <v>23676</v>
      </c>
      <c r="G11" s="7">
        <f>SUMIF(Table1[Salesperson],E11,Table1[Units_Sold])</f>
        <v>122</v>
      </c>
    </row>
    <row r="12" spans="1:8">
      <c r="A12" t="s">
        <v>28</v>
      </c>
      <c r="B12" s="3">
        <f>SUMIF(Table1[Region],A12,Table1[Revenue])</f>
        <v>22293</v>
      </c>
      <c r="C12" s="3">
        <f>SUMIF(Table1[Region],Dashboard!A12,Table1[Profit])</f>
        <v>8913</v>
      </c>
      <c r="E12" s="7" t="s">
        <v>27</v>
      </c>
      <c r="F12" s="3">
        <f>SUMIF(Table1[Salesperson],E12,Table1[Revenue])</f>
        <v>22293</v>
      </c>
      <c r="G12" s="7">
        <f>SUMIF(Table1[Salesperson],E12,Table1[Units_Sold])</f>
        <v>99</v>
      </c>
    </row>
    <row r="13" spans="1:8">
      <c r="A13" t="s">
        <v>33</v>
      </c>
      <c r="B13" s="3">
        <f>SUMIF(Table1[Region],A13,Table1[Revenue])</f>
        <v>22554</v>
      </c>
      <c r="C13" s="3">
        <f>SUMIF(Table1[Region],Dashboard!A13,Table1[Profit])</f>
        <v>7974</v>
      </c>
      <c r="E13" s="7" t="s">
        <v>32</v>
      </c>
      <c r="F13" s="3">
        <f>SUMIF(Table1[Salesperson],E13,Table1[Revenue])</f>
        <v>22554</v>
      </c>
      <c r="G13" s="7">
        <f>SUMIF(Table1[Salesperson],E13,Table1[Units_Sold])</f>
        <v>53</v>
      </c>
    </row>
  </sheetData>
  <mergeCells count="4">
    <mergeCell ref="A1:H1"/>
    <mergeCell ref="A3:D3"/>
    <mergeCell ref="A8:C8"/>
    <mergeCell ref="E8:G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457E-96E7-4500-9554-00365A0A06E9}">
  <dimension ref="A1:G17"/>
  <sheetViews>
    <sheetView workbookViewId="0">
      <selection activeCell="F2" sqref="F2"/>
    </sheetView>
  </sheetViews>
  <sheetFormatPr defaultRowHeight="15"/>
  <cols>
    <col min="1" max="1" width="11.42578125" bestFit="1" customWidth="1"/>
    <col min="2" max="2" width="12" bestFit="1" customWidth="1"/>
    <col min="3" max="3" width="15.28515625" bestFit="1" customWidth="1"/>
    <col min="6" max="6" width="11.42578125" bestFit="1" customWidth="1"/>
    <col min="7" max="7" width="15.28515625" bestFit="1" customWidth="1"/>
  </cols>
  <sheetData>
    <row r="1" spans="1:7">
      <c r="A1" s="15" t="s">
        <v>1</v>
      </c>
      <c r="B1" s="15" t="s">
        <v>6</v>
      </c>
      <c r="C1" t="s">
        <v>91</v>
      </c>
    </row>
    <row r="2" spans="1:7">
      <c r="A2" t="s">
        <v>92</v>
      </c>
      <c r="B2" t="s">
        <v>18</v>
      </c>
      <c r="C2" s="3">
        <v>9300</v>
      </c>
      <c r="F2" s="15" t="s">
        <v>4</v>
      </c>
      <c r="G2" t="s">
        <v>91</v>
      </c>
    </row>
    <row r="3" spans="1:7">
      <c r="B3" t="s">
        <v>24</v>
      </c>
      <c r="C3" s="3">
        <v>12924</v>
      </c>
      <c r="F3" t="s">
        <v>28</v>
      </c>
      <c r="G3" s="3">
        <v>22293</v>
      </c>
    </row>
    <row r="4" spans="1:7">
      <c r="A4" t="s">
        <v>93</v>
      </c>
      <c r="C4" s="3">
        <v>22224</v>
      </c>
      <c r="F4" t="s">
        <v>16</v>
      </c>
      <c r="G4" s="3">
        <v>25132</v>
      </c>
    </row>
    <row r="5" spans="1:7">
      <c r="A5" t="s">
        <v>94</v>
      </c>
      <c r="B5" t="s">
        <v>18</v>
      </c>
      <c r="C5" s="3">
        <v>14460</v>
      </c>
      <c r="F5" t="s">
        <v>22</v>
      </c>
      <c r="G5" s="3">
        <v>23676</v>
      </c>
    </row>
    <row r="6" spans="1:7">
      <c r="B6" t="s">
        <v>24</v>
      </c>
      <c r="C6" s="3">
        <v>2850</v>
      </c>
      <c r="F6" t="s">
        <v>33</v>
      </c>
      <c r="G6" s="3">
        <v>22554</v>
      </c>
    </row>
    <row r="7" spans="1:7">
      <c r="A7" t="s">
        <v>95</v>
      </c>
      <c r="C7" s="3">
        <v>17310</v>
      </c>
      <c r="F7" t="s">
        <v>96</v>
      </c>
      <c r="G7" s="3">
        <v>93655</v>
      </c>
    </row>
    <row r="8" spans="1:7">
      <c r="A8" t="s">
        <v>97</v>
      </c>
      <c r="B8" t="s">
        <v>18</v>
      </c>
      <c r="C8" s="3">
        <v>11260</v>
      </c>
    </row>
    <row r="9" spans="1:7">
      <c r="B9" t="s">
        <v>24</v>
      </c>
      <c r="C9" s="3">
        <v>7875</v>
      </c>
    </row>
    <row r="10" spans="1:7">
      <c r="A10" t="s">
        <v>98</v>
      </c>
      <c r="C10" s="3">
        <v>19135</v>
      </c>
    </row>
    <row r="11" spans="1:7">
      <c r="A11" t="s">
        <v>99</v>
      </c>
      <c r="B11" t="s">
        <v>18</v>
      </c>
      <c r="C11" s="3">
        <v>12252</v>
      </c>
    </row>
    <row r="12" spans="1:7">
      <c r="B12" t="s">
        <v>24</v>
      </c>
      <c r="C12" s="3">
        <v>4416</v>
      </c>
    </row>
    <row r="13" spans="1:7">
      <c r="A13" t="s">
        <v>100</v>
      </c>
      <c r="C13" s="3">
        <v>16668</v>
      </c>
    </row>
    <row r="14" spans="1:7">
      <c r="A14" t="s">
        <v>101</v>
      </c>
      <c r="B14" t="s">
        <v>18</v>
      </c>
      <c r="C14" s="3">
        <v>7968</v>
      </c>
    </row>
    <row r="15" spans="1:7">
      <c r="B15" t="s">
        <v>24</v>
      </c>
      <c r="C15" s="3">
        <v>10350</v>
      </c>
    </row>
    <row r="16" spans="1:7">
      <c r="A16" t="s">
        <v>102</v>
      </c>
      <c r="C16" s="3">
        <v>18318</v>
      </c>
    </row>
    <row r="17" spans="1:3">
      <c r="A17" t="s">
        <v>96</v>
      </c>
      <c r="C17" s="3">
        <v>93655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topLeftCell="A3" zoomScaleNormal="100" workbookViewId="0">
      <selection activeCell="A20" sqref="A20:A22"/>
    </sheetView>
  </sheetViews>
  <sheetFormatPr defaultColWidth="8.7109375" defaultRowHeight="15"/>
  <cols>
    <col min="1" max="1" width="70" customWidth="1"/>
  </cols>
  <sheetData>
    <row r="1" spans="1:1">
      <c r="A1" s="8" t="s">
        <v>103</v>
      </c>
    </row>
    <row r="3" spans="1:1">
      <c r="A3" s="8" t="s">
        <v>104</v>
      </c>
    </row>
    <row r="4" spans="1:1">
      <c r="A4" s="9" t="s">
        <v>105</v>
      </c>
    </row>
    <row r="5" spans="1:1">
      <c r="A5" s="9" t="s">
        <v>106</v>
      </c>
    </row>
    <row r="6" spans="1:1">
      <c r="A6" s="9" t="s">
        <v>107</v>
      </c>
    </row>
    <row r="7" spans="1:1">
      <c r="A7" s="9" t="s">
        <v>108</v>
      </c>
    </row>
    <row r="8" spans="1:1">
      <c r="A8" s="9" t="s">
        <v>109</v>
      </c>
    </row>
    <row r="10" spans="1:1">
      <c r="A10" s="8" t="s">
        <v>110</v>
      </c>
    </row>
    <row r="11" spans="1:1">
      <c r="A11" s="9" t="s">
        <v>111</v>
      </c>
    </row>
    <row r="12" spans="1:1">
      <c r="A12" s="9" t="s">
        <v>112</v>
      </c>
    </row>
    <row r="13" spans="1:1">
      <c r="A13" s="9" t="s">
        <v>113</v>
      </c>
    </row>
    <row r="14" spans="1:1">
      <c r="A14" s="9" t="s">
        <v>114</v>
      </c>
    </row>
    <row r="15" spans="1:1">
      <c r="A15" s="9" t="s">
        <v>115</v>
      </c>
    </row>
    <row r="16" spans="1:1">
      <c r="A16" s="9" t="s">
        <v>116</v>
      </c>
    </row>
    <row r="17" spans="1:1">
      <c r="A17" s="9" t="s">
        <v>117</v>
      </c>
    </row>
    <row r="19" spans="1:1">
      <c r="A19" s="8" t="s">
        <v>118</v>
      </c>
    </row>
    <row r="20" spans="1:1">
      <c r="A20" s="9" t="s">
        <v>119</v>
      </c>
    </row>
    <row r="21" spans="1:1">
      <c r="A21" s="9" t="s">
        <v>120</v>
      </c>
    </row>
    <row r="22" spans="1:1">
      <c r="A22" s="9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kk7275417@gmail.com</cp:lastModifiedBy>
  <cp:revision>0</cp:revision>
  <dcterms:created xsi:type="dcterms:W3CDTF">2026-05-05T10:57:29Z</dcterms:created>
  <dcterms:modified xsi:type="dcterms:W3CDTF">2026-05-06T21:27:50Z</dcterms:modified>
  <cp:category/>
  <cp:contentStatus/>
</cp:coreProperties>
</file>